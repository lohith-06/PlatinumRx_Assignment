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CFEFBC0B-EBB9-40C8-8E24-F63CA8587685}" xr6:coauthVersionLast="47" xr6:coauthVersionMax="47" xr10:uidLastSave="{00000000-0000-0000-0000-000000000000}"/>
  <bookViews>
    <workbookView xWindow="-108" yWindow="-108" windowWidth="23256" windowHeight="12456" activeTab="1" xr2:uid="{4091F512-5440-4075-82E4-555E6DC11780}"/>
  </bookViews>
  <sheets>
    <sheet name="ticket" sheetId="1" r:id="rId1"/>
    <sheet name="feedb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L4" i="1"/>
  <c r="L5" i="1"/>
  <c r="L6" i="1"/>
  <c r="L7" i="1"/>
  <c r="L8" i="1"/>
  <c r="L9" i="1"/>
  <c r="K3" i="1"/>
  <c r="K4" i="1"/>
  <c r="K5" i="1"/>
  <c r="K6" i="1"/>
  <c r="K7" i="1"/>
  <c r="K8" i="1"/>
  <c r="K9" i="1"/>
  <c r="L3" i="1"/>
  <c r="L2" i="1"/>
  <c r="K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F2" i="2"/>
</calcChain>
</file>

<file path=xl/sharedStrings.xml><?xml version="1.0" encoding="utf-8"?>
<sst xmlns="http://schemas.openxmlformats.org/spreadsheetml/2006/main" count="72" uniqueCount="49">
  <si>
    <t>ticket_id</t>
  </si>
  <si>
    <t>cms_id</t>
  </si>
  <si>
    <t>outlet_id</t>
  </si>
  <si>
    <t>created_at</t>
  </si>
  <si>
    <t>closed_at</t>
  </si>
  <si>
    <t>T001</t>
  </si>
  <si>
    <t>CMS101</t>
  </si>
  <si>
    <t>OUT001</t>
  </si>
  <si>
    <t>T002</t>
  </si>
  <si>
    <t>CMS102</t>
  </si>
  <si>
    <t>T003</t>
  </si>
  <si>
    <t>CMS103</t>
  </si>
  <si>
    <t>OUT002</t>
  </si>
  <si>
    <t>T004</t>
  </si>
  <si>
    <t>CMS104</t>
  </si>
  <si>
    <t>T005</t>
  </si>
  <si>
    <t>CMS105</t>
  </si>
  <si>
    <t>OUT003</t>
  </si>
  <si>
    <t>T006</t>
  </si>
  <si>
    <t>CMS106</t>
  </si>
  <si>
    <t>T007</t>
  </si>
  <si>
    <t>CMS107</t>
  </si>
  <si>
    <t>T008</t>
  </si>
  <si>
    <t>CMS108</t>
  </si>
  <si>
    <t>feedback_id</t>
  </si>
  <si>
    <t>customer_name</t>
  </si>
  <si>
    <t>feedback_rating</t>
  </si>
  <si>
    <t>feedback_at</t>
  </si>
  <si>
    <t>F001</t>
  </si>
  <si>
    <t>Rahul</t>
  </si>
  <si>
    <t>F002</t>
  </si>
  <si>
    <t>Sneha</t>
  </si>
  <si>
    <t>F003</t>
  </si>
  <si>
    <t>Arjun</t>
  </si>
  <si>
    <t>F004</t>
  </si>
  <si>
    <t>Priya</t>
  </si>
  <si>
    <t>F005</t>
  </si>
  <si>
    <t>Kiran</t>
  </si>
  <si>
    <t>F006</t>
  </si>
  <si>
    <t>Meena</t>
  </si>
  <si>
    <t>F007</t>
  </si>
  <si>
    <t>Akash</t>
  </si>
  <si>
    <t>F008</t>
  </si>
  <si>
    <t>Divya</t>
  </si>
  <si>
    <t>ticket_created_at</t>
  </si>
  <si>
    <t>same day?</t>
  </si>
  <si>
    <t>Same Hour</t>
  </si>
  <si>
    <t>Same Day Count</t>
  </si>
  <si>
    <t>Same Hour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</si>
</sst>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DABD-D1E7-4799-835C-2042556B85A1}">
  <dimension ref="A1:L10"/>
  <sheetViews>
    <sheetView workbookViewId="0">
      <selection activeCell="J2" sqref="J2"/>
    </sheetView>
  </sheetViews>
  <sheetFormatPr defaultRowHeight="14.4" x14ac:dyDescent="0.3"/>
  <cols>
    <col min="2" max="2" width="10.6640625" customWidth="1"/>
    <col min="3" max="3" width="10.77734375" customWidth="1"/>
    <col min="4" max="4" width="10.6640625" customWidth="1"/>
    <col min="5" max="5" width="10.77734375" customWidth="1"/>
    <col min="6" max="6" width="9.6640625" customWidth="1"/>
    <col min="7" max="7" width="10.77734375" customWidth="1"/>
    <col min="10" max="10" width="10.77734375" style="7" customWidth="1"/>
    <col min="11" max="11" width="11.21875" customWidth="1"/>
    <col min="12" max="12" width="10.88671875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46</v>
      </c>
      <c r="J1" s="2" t="s">
        <v>2</v>
      </c>
      <c r="K1" s="2" t="s">
        <v>47</v>
      </c>
      <c r="L1" s="2" t="s">
        <v>48</v>
      </c>
    </row>
    <row r="2" spans="1:12" x14ac:dyDescent="0.3">
      <c r="A2" s="3" t="s">
        <v>5</v>
      </c>
      <c r="B2" s="3" t="s">
        <v>6</v>
      </c>
      <c r="C2" s="3" t="s">
        <v>7</v>
      </c>
      <c r="D2" s="4">
        <v>46113.427083333336</v>
      </c>
      <c r="E2" s="4">
        <v>46113.447916666664</v>
      </c>
      <c r="F2" t="b">
        <f>INT(D2)=INT(E2)</f>
        <v>1</v>
      </c>
      <c r="G2" t="b">
        <f>AND(INT(D2)=INT(E2),HOUR(D2)=HOUR(E2))</f>
        <v>1</v>
      </c>
      <c r="J2" s="1" t="s">
        <v>7</v>
      </c>
      <c r="K2" s="7">
        <f>COUNTIFS(C:C,J2,F:F,TRUE)</f>
        <v>3</v>
      </c>
      <c r="L2" s="7">
        <f>COUNTIFS(C:C,J2,G:G,TRUE)</f>
        <v>2</v>
      </c>
    </row>
    <row r="3" spans="1:12" x14ac:dyDescent="0.3">
      <c r="A3" s="3" t="s">
        <v>8</v>
      </c>
      <c r="B3" s="3" t="s">
        <v>9</v>
      </c>
      <c r="C3" s="3" t="s">
        <v>7</v>
      </c>
      <c r="D3" s="4">
        <v>46113.472222222219</v>
      </c>
      <c r="E3" s="4">
        <v>46113.590277777781</v>
      </c>
      <c r="F3" t="b">
        <f t="shared" ref="F3:F9" si="0">INT(D3)=INT(E3)</f>
        <v>1</v>
      </c>
      <c r="G3" t="b">
        <f t="shared" ref="G3:G9" si="1">AND(INT(D3)=INT(E3),HOUR(D3)=HOUR(E3))</f>
        <v>0</v>
      </c>
      <c r="J3" s="1" t="s">
        <v>7</v>
      </c>
      <c r="K3" s="7">
        <f t="shared" ref="K3:K9" si="2">COUNTIFS(C:C,J3,F:F,TRUE)</f>
        <v>3</v>
      </c>
      <c r="L3" s="7">
        <f t="shared" ref="L3:L9" si="3">COUNTIFS(C:C,J3,G:G,TRUE)</f>
        <v>2</v>
      </c>
    </row>
    <row r="4" spans="1:12" x14ac:dyDescent="0.3">
      <c r="A4" s="3" t="s">
        <v>10</v>
      </c>
      <c r="B4" s="3" t="s">
        <v>11</v>
      </c>
      <c r="C4" s="3" t="s">
        <v>12</v>
      </c>
      <c r="D4" s="4">
        <v>46114.375</v>
      </c>
      <c r="E4" s="4">
        <v>46115.395833333336</v>
      </c>
      <c r="F4" t="b">
        <f t="shared" si="0"/>
        <v>0</v>
      </c>
      <c r="G4" t="b">
        <f t="shared" si="1"/>
        <v>0</v>
      </c>
      <c r="J4" s="1" t="s">
        <v>12</v>
      </c>
      <c r="K4" s="7">
        <f t="shared" si="2"/>
        <v>1</v>
      </c>
      <c r="L4" s="7">
        <f t="shared" si="3"/>
        <v>1</v>
      </c>
    </row>
    <row r="5" spans="1:12" x14ac:dyDescent="0.3">
      <c r="A5" s="3" t="s">
        <v>13</v>
      </c>
      <c r="B5" s="3" t="s">
        <v>14</v>
      </c>
      <c r="C5" s="3" t="s">
        <v>12</v>
      </c>
      <c r="D5" s="4">
        <v>46114.631944444445</v>
      </c>
      <c r="E5" s="4">
        <v>46114.663194444445</v>
      </c>
      <c r="F5" t="b">
        <f t="shared" si="0"/>
        <v>1</v>
      </c>
      <c r="G5" t="b">
        <f t="shared" si="1"/>
        <v>1</v>
      </c>
      <c r="J5" s="1" t="s">
        <v>12</v>
      </c>
      <c r="K5" s="7">
        <f t="shared" si="2"/>
        <v>1</v>
      </c>
      <c r="L5" s="7">
        <f t="shared" si="3"/>
        <v>1</v>
      </c>
    </row>
    <row r="6" spans="1:12" x14ac:dyDescent="0.3">
      <c r="A6" s="3" t="s">
        <v>15</v>
      </c>
      <c r="B6" s="3" t="s">
        <v>16</v>
      </c>
      <c r="C6" s="3" t="s">
        <v>17</v>
      </c>
      <c r="D6" s="4">
        <v>46115.354166666664</v>
      </c>
      <c r="E6" s="4">
        <v>46115.520833333336</v>
      </c>
      <c r="F6" t="b">
        <f t="shared" si="0"/>
        <v>1</v>
      </c>
      <c r="G6" t="b">
        <f t="shared" si="1"/>
        <v>0</v>
      </c>
      <c r="J6" s="1" t="s">
        <v>17</v>
      </c>
      <c r="K6" s="7">
        <f t="shared" si="2"/>
        <v>2</v>
      </c>
      <c r="L6" s="7">
        <f t="shared" si="3"/>
        <v>1</v>
      </c>
    </row>
    <row r="7" spans="1:12" x14ac:dyDescent="0.3">
      <c r="A7" s="3" t="s">
        <v>18</v>
      </c>
      <c r="B7" s="3" t="s">
        <v>19</v>
      </c>
      <c r="C7" s="3" t="s">
        <v>17</v>
      </c>
      <c r="D7" s="4">
        <v>46115.666666666664</v>
      </c>
      <c r="E7" s="4">
        <v>46115.680555555555</v>
      </c>
      <c r="F7" t="b">
        <f t="shared" si="0"/>
        <v>1</v>
      </c>
      <c r="G7" t="b">
        <f t="shared" si="1"/>
        <v>1</v>
      </c>
      <c r="J7" s="1" t="s">
        <v>17</v>
      </c>
      <c r="K7" s="7">
        <f t="shared" si="2"/>
        <v>2</v>
      </c>
      <c r="L7" s="7">
        <f t="shared" si="3"/>
        <v>1</v>
      </c>
    </row>
    <row r="8" spans="1:12" x14ac:dyDescent="0.3">
      <c r="A8" s="3" t="s">
        <v>20</v>
      </c>
      <c r="B8" s="3" t="s">
        <v>21</v>
      </c>
      <c r="C8" s="3" t="s">
        <v>7</v>
      </c>
      <c r="D8" s="4">
        <v>46116.381944444445</v>
      </c>
      <c r="E8" s="4">
        <v>46116.409722222219</v>
      </c>
      <c r="F8" t="b">
        <f t="shared" si="0"/>
        <v>1</v>
      </c>
      <c r="G8" t="b">
        <f t="shared" si="1"/>
        <v>1</v>
      </c>
      <c r="J8" s="1" t="s">
        <v>7</v>
      </c>
      <c r="K8" s="7">
        <f t="shared" si="2"/>
        <v>3</v>
      </c>
      <c r="L8" s="7">
        <f t="shared" si="3"/>
        <v>2</v>
      </c>
    </row>
    <row r="9" spans="1:12" x14ac:dyDescent="0.3">
      <c r="A9" s="3" t="s">
        <v>22</v>
      </c>
      <c r="B9" s="3" t="s">
        <v>23</v>
      </c>
      <c r="C9" s="3" t="s">
        <v>12</v>
      </c>
      <c r="D9" s="4">
        <v>46116.541666666664</v>
      </c>
      <c r="E9" s="4">
        <v>46117.416666666664</v>
      </c>
      <c r="F9" t="b">
        <f t="shared" si="0"/>
        <v>0</v>
      </c>
      <c r="G9" t="b">
        <f t="shared" si="1"/>
        <v>0</v>
      </c>
      <c r="J9" s="1" t="s">
        <v>12</v>
      </c>
      <c r="K9" s="7">
        <f t="shared" si="2"/>
        <v>1</v>
      </c>
      <c r="L9" s="7">
        <f t="shared" si="3"/>
        <v>1</v>
      </c>
    </row>
    <row r="10" spans="1:12" x14ac:dyDescent="0.3">
      <c r="K10" s="7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3B12-9BC0-4F36-ABC0-8B365526507F}">
  <dimension ref="A1:F9"/>
  <sheetViews>
    <sheetView tabSelected="1" workbookViewId="0">
      <selection activeCell="G1" sqref="G1"/>
    </sheetView>
  </sheetViews>
  <sheetFormatPr defaultRowHeight="14.4" x14ac:dyDescent="0.3"/>
  <cols>
    <col min="2" max="2" width="10.21875" customWidth="1"/>
    <col min="3" max="3" width="11.5546875" customWidth="1"/>
    <col min="4" max="4" width="12.109375" style="6" customWidth="1"/>
    <col min="5" max="5" width="13.88671875" customWidth="1"/>
    <col min="6" max="6" width="16.33203125" style="6" customWidth="1"/>
  </cols>
  <sheetData>
    <row r="1" spans="1:6" ht="28.8" x14ac:dyDescent="0.3">
      <c r="A1" s="2" t="s">
        <v>24</v>
      </c>
      <c r="B1" s="2" t="s">
        <v>1</v>
      </c>
      <c r="C1" s="2" t="s">
        <v>25</v>
      </c>
      <c r="D1" s="2" t="s">
        <v>26</v>
      </c>
      <c r="E1" s="2" t="s">
        <v>27</v>
      </c>
      <c r="F1" s="2" t="s">
        <v>44</v>
      </c>
    </row>
    <row r="2" spans="1:6" x14ac:dyDescent="0.3">
      <c r="A2" s="3" t="s">
        <v>28</v>
      </c>
      <c r="B2" s="3" t="s">
        <v>6</v>
      </c>
      <c r="C2" s="3" t="s">
        <v>29</v>
      </c>
      <c r="D2" s="5">
        <v>5</v>
      </c>
      <c r="E2" s="4">
        <v>46113.5</v>
      </c>
      <c r="F2" s="8">
        <f>INDEX(ticket!D:D,MATCH(B2,ticket!B:B,0))</f>
        <v>46113.427083333336</v>
      </c>
    </row>
    <row r="3" spans="1:6" x14ac:dyDescent="0.3">
      <c r="A3" s="3" t="s">
        <v>30</v>
      </c>
      <c r="B3" s="3" t="s">
        <v>9</v>
      </c>
      <c r="C3" s="3" t="s">
        <v>31</v>
      </c>
      <c r="D3" s="5">
        <v>4</v>
      </c>
      <c r="E3" s="4">
        <v>46113.625</v>
      </c>
      <c r="F3" s="8">
        <f>INDEX(ticket!D:D,MATCH(B3,ticket!B:B,0))</f>
        <v>46113.472222222219</v>
      </c>
    </row>
    <row r="4" spans="1:6" x14ac:dyDescent="0.3">
      <c r="A4" s="3" t="s">
        <v>32</v>
      </c>
      <c r="B4" s="3" t="s">
        <v>11</v>
      </c>
      <c r="C4" s="3" t="s">
        <v>33</v>
      </c>
      <c r="D4" s="5">
        <v>2</v>
      </c>
      <c r="E4" s="4">
        <v>46115.458333333336</v>
      </c>
      <c r="F4" s="8">
        <f>INDEX(ticket!D:D,MATCH(B4,ticket!B:B,0))</f>
        <v>46114.375</v>
      </c>
    </row>
    <row r="5" spans="1:6" x14ac:dyDescent="0.3">
      <c r="A5" s="3" t="s">
        <v>34</v>
      </c>
      <c r="B5" s="3" t="s">
        <v>14</v>
      </c>
      <c r="C5" s="3" t="s">
        <v>35</v>
      </c>
      <c r="D5" s="5">
        <v>5</v>
      </c>
      <c r="E5" s="4">
        <v>46114.708333333336</v>
      </c>
      <c r="F5" s="8">
        <f>INDEX(ticket!D:D,MATCH(B5,ticket!B:B,0))</f>
        <v>46114.631944444445</v>
      </c>
    </row>
    <row r="6" spans="1:6" x14ac:dyDescent="0.3">
      <c r="A6" s="3" t="s">
        <v>36</v>
      </c>
      <c r="B6" s="3" t="s">
        <v>16</v>
      </c>
      <c r="C6" s="3" t="s">
        <v>37</v>
      </c>
      <c r="D6" s="5">
        <v>3</v>
      </c>
      <c r="E6" s="4">
        <v>46115.583333333336</v>
      </c>
      <c r="F6" s="8">
        <f>INDEX(ticket!D:D,MATCH(B6,ticket!B:B,0))</f>
        <v>46115.354166666664</v>
      </c>
    </row>
    <row r="7" spans="1:6" x14ac:dyDescent="0.3">
      <c r="A7" s="3" t="s">
        <v>38</v>
      </c>
      <c r="B7" s="3" t="s">
        <v>19</v>
      </c>
      <c r="C7" s="3" t="s">
        <v>39</v>
      </c>
      <c r="D7" s="5">
        <v>4</v>
      </c>
      <c r="E7" s="4">
        <v>46115.708333333336</v>
      </c>
      <c r="F7" s="8">
        <f>INDEX(ticket!D:D,MATCH(B7,ticket!B:B,0))</f>
        <v>46115.666666666664</v>
      </c>
    </row>
    <row r="8" spans="1:6" x14ac:dyDescent="0.3">
      <c r="A8" s="3" t="s">
        <v>40</v>
      </c>
      <c r="B8" s="3" t="s">
        <v>21</v>
      </c>
      <c r="C8" s="3" t="s">
        <v>41</v>
      </c>
      <c r="D8" s="5">
        <v>5</v>
      </c>
      <c r="E8" s="4">
        <v>46116.458333333336</v>
      </c>
      <c r="F8" s="8">
        <f>INDEX(ticket!D:D,MATCH(B8,ticket!B:B,0))</f>
        <v>46116.381944444445</v>
      </c>
    </row>
    <row r="9" spans="1:6" x14ac:dyDescent="0.3">
      <c r="A9" s="3" t="s">
        <v>42</v>
      </c>
      <c r="B9" s="3" t="s">
        <v>23</v>
      </c>
      <c r="C9" s="3" t="s">
        <v>43</v>
      </c>
      <c r="D9" s="5">
        <v>2</v>
      </c>
      <c r="E9" s="4">
        <v>46117.5</v>
      </c>
      <c r="F9" s="8">
        <f>INDEX(ticket!D:D,MATCH(B9,ticket!B:B,0))</f>
        <v>46116.541666666664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2026-04-08T21:15:08Z</dcterms:created>
  <dcterms:modified xsi:type="dcterms:W3CDTF">2026-04-08T21:54:59Z</dcterms:modified>
</cp:coreProperties>
</file>